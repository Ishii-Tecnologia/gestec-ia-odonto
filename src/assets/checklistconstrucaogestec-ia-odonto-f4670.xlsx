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Execução" sheetId="1" state="visible" r:id="rId1"/>
    <sheet name="Resumo por Eta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6" customWidth="1" min="3" max="3"/>
    <col width="17" customWidth="1" min="4" max="4"/>
    <col width="9" customWidth="1" min="5" max="5"/>
    <col width="15" customWidth="1" min="6" max="6"/>
    <col width="13" customWidth="1" min="7" max="7"/>
    <col width="11" customWidth="1" min="8" max="8"/>
    <col width="11" customWidth="1" min="9" max="9"/>
    <col width="62" customWidth="1" min="10" max="10"/>
    <col width="20" customWidth="1" min="11" max="11"/>
  </cols>
  <sheetData>
    <row r="1" ht="28" customHeight="1">
      <c r="A1" s="1" t="inlineStr">
        <is>
          <t>Checklist de Construção — GesTec-IA-Odonto (MVP Fase 1)</t>
        </is>
      </c>
    </row>
    <row r="2" ht="36" customHeight="1">
      <c r="A2" s="2" t="inlineStr">
        <is>
          <t>Etapa</t>
        </is>
      </c>
      <c r="B2" s="2" t="inlineStr">
        <is>
          <t>ID</t>
        </is>
      </c>
      <c r="C2" s="2" t="inlineStr">
        <is>
          <t>Item do Backlog</t>
        </is>
      </c>
      <c r="D2" s="2" t="inlineStr">
        <is>
          <t>Prioridade MoSCoW</t>
        </is>
      </c>
      <c r="E2" s="2" t="inlineStr">
        <is>
          <t>Semanas</t>
        </is>
      </c>
      <c r="F2" s="2" t="inlineStr">
        <is>
          <t>Status</t>
        </is>
      </c>
      <c r="G2" s="2" t="inlineStr">
        <is>
          <t>Responsável</t>
        </is>
      </c>
      <c r="H2" s="2" t="inlineStr">
        <is>
          <t>Data Início</t>
        </is>
      </c>
      <c r="I2" s="2" t="inlineStr">
        <is>
          <t>Data Fim</t>
        </is>
      </c>
      <c r="J2" s="2" t="inlineStr">
        <is>
          <t>Critério de Aceitação</t>
        </is>
      </c>
      <c r="K2" s="2" t="inlineStr">
        <is>
          <t>Observações</t>
        </is>
      </c>
    </row>
    <row r="3" ht="34" customHeight="1">
      <c r="A3" s="3" t="inlineStr">
        <is>
          <t>Etapa 0</t>
        </is>
      </c>
      <c r="B3" s="3" t="inlineStr">
        <is>
          <t>BL-001</t>
        </is>
      </c>
      <c r="C3" s="4" t="inlineStr">
        <is>
          <t>Multi-tenancy, RLS e RBAC</t>
        </is>
      </c>
      <c r="D3" s="3" t="inlineStr">
        <is>
          <t>Must Have</t>
        </is>
      </c>
      <c r="E3" s="3" t="inlineStr">
        <is>
          <t>1-3</t>
        </is>
      </c>
      <c r="F3" s="3" t="inlineStr">
        <is>
          <t>Não iniciado</t>
        </is>
      </c>
      <c r="G3" s="3" t="n"/>
      <c r="H3" s="5" t="n"/>
      <c r="I3" s="5" t="n"/>
      <c r="J3" s="4" t="inlineStr">
        <is>
          <t>CA-Multi-tenant: nenhum dado do tenant A acessível pelo tenant B, testes automatizados no CI/CD</t>
        </is>
      </c>
      <c r="K3" s="4" t="n"/>
    </row>
    <row r="4" ht="34" customHeight="1">
      <c r="A4" s="3" t="inlineStr">
        <is>
          <t>Etapa 0</t>
        </is>
      </c>
      <c r="B4" s="3" t="inlineStr">
        <is>
          <t>BL-002</t>
        </is>
      </c>
      <c r="C4" s="4" t="inlineStr">
        <is>
          <t>Serviço de Entitlements v1</t>
        </is>
      </c>
      <c r="D4" s="3" t="inlineStr">
        <is>
          <t>Must Have</t>
        </is>
      </c>
      <c r="E4" s="3" t="inlineStr">
        <is>
          <t>1-3</t>
        </is>
      </c>
      <c r="F4" s="3" t="inlineStr">
        <is>
          <t>Não iniciado</t>
        </is>
      </c>
      <c r="G4" s="3" t="n"/>
      <c r="H4" s="5" t="n"/>
      <c r="I4" s="5" t="n"/>
      <c r="J4" s="4" t="inlineStr">
        <is>
          <t>CA-MOD-2: ativar/desativar módulo sem deploy, efeito em menos de 1 minuto</t>
        </is>
      </c>
      <c r="K4" s="4" t="n"/>
    </row>
    <row r="5" ht="34" customHeight="1">
      <c r="A5" s="3" t="inlineStr">
        <is>
          <t>Etapa 0</t>
        </is>
      </c>
      <c r="B5" s="3" t="inlineStr">
        <is>
          <t>BL-011</t>
        </is>
      </c>
      <c r="C5" s="4" t="inlineStr">
        <is>
          <t>Auditoria LGPD Baseline + MFA</t>
        </is>
      </c>
      <c r="D5" s="3" t="inlineStr">
        <is>
          <t>Must Have</t>
        </is>
      </c>
      <c r="E5" s="3" t="inlineStr">
        <is>
          <t>1-3</t>
        </is>
      </c>
      <c r="F5" s="3" t="inlineStr">
        <is>
          <t>Não iniciado</t>
        </is>
      </c>
      <c r="G5" s="3" t="n"/>
      <c r="H5" s="5" t="n"/>
      <c r="I5" s="5" t="n"/>
      <c r="J5" s="4" t="inlineStr">
        <is>
          <t>CA-LGPD: todo acesso a prontuário gera log imutável; perfis não-clínicos bloqueados</t>
        </is>
      </c>
      <c r="K5" s="4" t="n"/>
    </row>
    <row r="6" ht="34" customHeight="1">
      <c r="A6" s="3" t="inlineStr">
        <is>
          <t>Etapa 1</t>
        </is>
      </c>
      <c r="B6" s="3" t="inlineStr">
        <is>
          <t>BL-003</t>
        </is>
      </c>
      <c r="C6" s="4" t="inlineStr">
        <is>
          <t>Cadastro de Pacientes</t>
        </is>
      </c>
      <c r="D6" s="3" t="inlineStr">
        <is>
          <t>Must Have</t>
        </is>
      </c>
      <c r="E6" s="3" t="inlineStr">
        <is>
          <t>3-6</t>
        </is>
      </c>
      <c r="F6" s="3" t="inlineStr">
        <is>
          <t>Não iniciado</t>
        </is>
      </c>
      <c r="G6" s="3" t="n"/>
      <c r="H6" s="5" t="n"/>
      <c r="I6" s="5" t="n"/>
      <c r="J6" s="4" t="inlineStr">
        <is>
          <t>RF-010 + CA-Usabilidade: cadastro completo em menos de 3 minutos sem treinamento</t>
        </is>
      </c>
      <c r="K6" s="4" t="n"/>
    </row>
    <row r="7" ht="48" customHeight="1">
      <c r="A7" s="3" t="inlineStr">
        <is>
          <t>Etapa 1</t>
        </is>
      </c>
      <c r="B7" s="3" t="inlineStr">
        <is>
          <t>BL-004</t>
        </is>
      </c>
      <c r="C7" s="4" t="inlineStr">
        <is>
          <t>Agenda Multi-profissional</t>
        </is>
      </c>
      <c r="D7" s="3" t="inlineStr">
        <is>
          <t>Must Have</t>
        </is>
      </c>
      <c r="E7" s="3" t="inlineStr">
        <is>
          <t>3-6</t>
        </is>
      </c>
      <c r="F7" s="3" t="inlineStr">
        <is>
          <t>Não iniciado</t>
        </is>
      </c>
      <c r="G7" s="3" t="n"/>
      <c r="H7" s="5" t="n"/>
      <c r="I7" s="5" t="n"/>
      <c r="J7" s="4" t="inlineStr">
        <is>
          <t>RF-002 + CA-Agenda: conflito de horário bloqueado em tempo real; agenda do dia renderiza em menos de 1s com 200+ itens</t>
        </is>
      </c>
      <c r="K7" s="4" t="n"/>
    </row>
    <row r="8" ht="34" customHeight="1">
      <c r="A8" s="3" t="inlineStr">
        <is>
          <t>Etapa 1</t>
        </is>
      </c>
      <c r="B8" s="3" t="inlineStr">
        <is>
          <t>BL-005</t>
        </is>
      </c>
      <c r="C8" s="4" t="inlineStr">
        <is>
          <t>Agendamento Online Público</t>
        </is>
      </c>
      <c r="D8" s="3" t="inlineStr">
        <is>
          <t>Must Have</t>
        </is>
      </c>
      <c r="E8" s="3" t="inlineStr">
        <is>
          <t>3-6</t>
        </is>
      </c>
      <c r="F8" s="3" t="inlineStr">
        <is>
          <t>Não iniciado</t>
        </is>
      </c>
      <c r="G8" s="3" t="n"/>
      <c r="H8" s="5" t="n"/>
      <c r="I8" s="5" t="n"/>
      <c r="J8" s="4" t="inlineStr">
        <is>
          <t>RF-004 + CA-Agenda: agendamento público reflete na agenda em menos de 5 segundos</t>
        </is>
      </c>
      <c r="K8" s="4" t="n"/>
    </row>
    <row r="9" ht="48" customHeight="1">
      <c r="A9" s="3" t="inlineStr">
        <is>
          <t>Etapa 2</t>
        </is>
      </c>
      <c r="B9" s="3" t="inlineStr">
        <is>
          <t>BL-006</t>
        </is>
      </c>
      <c r="C9" s="4" t="inlineStr">
        <is>
          <t>Prontuário com Odontograma e Evolução Versionada</t>
        </is>
      </c>
      <c r="D9" s="3" t="inlineStr">
        <is>
          <t>Must Have</t>
        </is>
      </c>
      <c r="E9" s="3" t="inlineStr">
        <is>
          <t>6-9</t>
        </is>
      </c>
      <c r="F9" s="3" t="inlineStr">
        <is>
          <t>Não iniciado</t>
        </is>
      </c>
      <c r="G9" s="3" t="n"/>
      <c r="H9" s="5" t="n"/>
      <c r="I9" s="5" t="n"/>
      <c r="J9" s="4" t="inlineStr">
        <is>
          <t>RF-020 + RF-026 + CA-Prontuário: nenhuma edição sobrescreve registro; odontograma reflete o estado da data selecionada</t>
        </is>
      </c>
      <c r="K9" s="4" t="n"/>
    </row>
    <row r="10" ht="34" customHeight="1">
      <c r="A10" s="3" t="inlineStr">
        <is>
          <t>Etapa 2</t>
        </is>
      </c>
      <c r="B10" s="3" t="inlineStr">
        <is>
          <t>BL-007</t>
        </is>
      </c>
      <c r="C10" s="4" t="inlineStr">
        <is>
          <t>Anamnese Digital</t>
        </is>
      </c>
      <c r="D10" s="3" t="inlineStr">
        <is>
          <t>Must Have</t>
        </is>
      </c>
      <c r="E10" s="3" t="inlineStr">
        <is>
          <t>6-9</t>
        </is>
      </c>
      <c r="F10" s="3" t="inlineStr">
        <is>
          <t>Não iniciado</t>
        </is>
      </c>
      <c r="G10" s="3" t="n"/>
      <c r="H10" s="5" t="n"/>
      <c r="I10" s="5" t="n"/>
      <c r="J10" s="4" t="inlineStr">
        <is>
          <t>RF-011: resposta do paciente gera versão congelada, indexada ao prontuário</t>
        </is>
      </c>
      <c r="K10" s="4" t="n"/>
    </row>
    <row r="11" ht="34" customHeight="1">
      <c r="A11" s="3" t="inlineStr">
        <is>
          <t>Etapa 3</t>
        </is>
      </c>
      <c r="B11" s="3" t="inlineStr">
        <is>
          <t>BL-008</t>
        </is>
      </c>
      <c r="C11" s="4" t="inlineStr">
        <is>
          <t>Orçamento Básico</t>
        </is>
      </c>
      <c r="D11" s="3" t="inlineStr">
        <is>
          <t>Must Have</t>
        </is>
      </c>
      <c r="E11" s="3" t="inlineStr">
        <is>
          <t>9-12</t>
        </is>
      </c>
      <c r="F11" s="3" t="inlineStr">
        <is>
          <t>Não iniciado</t>
        </is>
      </c>
      <c r="G11" s="3" t="n"/>
      <c r="H11" s="5" t="n"/>
      <c r="I11" s="5" t="n"/>
      <c r="J11" s="4" t="inlineStr">
        <is>
          <t>RF-023 + RF-024: aprovação gera itens agendáveis e título a receber automaticamente</t>
        </is>
      </c>
      <c r="K11" s="4" t="n"/>
    </row>
    <row r="12" ht="34" customHeight="1">
      <c r="A12" s="3" t="inlineStr">
        <is>
          <t>Etapa 3</t>
        </is>
      </c>
      <c r="B12" s="3" t="inlineStr">
        <is>
          <t>BL-009</t>
        </is>
      </c>
      <c r="C12" s="4" t="inlineStr">
        <is>
          <t>Financeiro Essencial (A Receber + Pix/Cartão)</t>
        </is>
      </c>
      <c r="D12" s="3" t="inlineStr">
        <is>
          <t>Must Have</t>
        </is>
      </c>
      <c r="E12" s="3" t="inlineStr">
        <is>
          <t>9-12</t>
        </is>
      </c>
      <c r="F12" s="3" t="inlineStr">
        <is>
          <t>Não iniciado</t>
        </is>
      </c>
      <c r="G12" s="3" t="n"/>
      <c r="H12" s="5" t="n"/>
      <c r="I12" s="5" t="n"/>
      <c r="J12" s="4" t="inlineStr">
        <is>
          <t>RF-030 + RF-032 + CA-Financeiro: baixa automática via webhook em menos de 1 minuto</t>
        </is>
      </c>
      <c r="K12" s="4" t="n"/>
    </row>
    <row r="13" ht="34" customHeight="1">
      <c r="A13" s="3" t="inlineStr">
        <is>
          <t>Etapa 4</t>
        </is>
      </c>
      <c r="B13" s="3" t="inlineStr">
        <is>
          <t>BL-010</t>
        </is>
      </c>
      <c r="C13" s="4" t="inlineStr">
        <is>
          <t>Lembretes WhatsApp</t>
        </is>
      </c>
      <c r="D13" s="3" t="inlineStr">
        <is>
          <t>Must Have</t>
        </is>
      </c>
      <c r="E13" s="3" t="inlineStr">
        <is>
          <t>11-13</t>
        </is>
      </c>
      <c r="F13" s="3" t="inlineStr">
        <is>
          <t>Não iniciado</t>
        </is>
      </c>
      <c r="G13" s="3" t="n"/>
      <c r="H13" s="5" t="n"/>
      <c r="I13" s="5" t="n"/>
      <c r="J13" s="4" t="inlineStr">
        <is>
          <t>RF-005: disparo nas janelas 48h/24h; resposta atualiza a agenda em tempo real</t>
        </is>
      </c>
      <c r="K13" s="4" t="n"/>
    </row>
    <row r="14" ht="34" customHeight="1">
      <c r="A14" s="3" t="inlineStr">
        <is>
          <t>Etapa 4</t>
        </is>
      </c>
      <c r="B14" s="3" t="inlineStr">
        <is>
          <t>BL-012</t>
        </is>
      </c>
      <c r="C14" s="4" t="inlineStr">
        <is>
          <t>Relatórios Básicos</t>
        </is>
      </c>
      <c r="D14" s="3" t="inlineStr">
        <is>
          <t>Must Have</t>
        </is>
      </c>
      <c r="E14" s="3" t="inlineStr">
        <is>
          <t>11-13</t>
        </is>
      </c>
      <c r="F14" s="3" t="inlineStr">
        <is>
          <t>Não iniciado</t>
        </is>
      </c>
      <c r="G14" s="3" t="n"/>
      <c r="H14" s="5" t="n"/>
      <c r="I14" s="5" t="n"/>
      <c r="J14" s="4" t="inlineStr">
        <is>
          <t>UC-06 parcial: ocupação de agenda e faturamento do mês em dashboard em tempo real</t>
        </is>
      </c>
      <c r="K14" s="4" t="n"/>
    </row>
    <row r="15" ht="34" customHeight="1">
      <c r="A15" s="6" t="inlineStr">
        <is>
          <t>Etapa 5</t>
        </is>
      </c>
      <c r="B15" s="6" t="inlineStr">
        <is>
          <t>BL-013</t>
        </is>
      </c>
      <c r="C15" s="7" t="inlineStr">
        <is>
          <t>Lista de Espera com Encaixe Automático</t>
        </is>
      </c>
      <c r="D15" s="6" t="inlineStr">
        <is>
          <t>Should Have</t>
        </is>
      </c>
      <c r="E15" s="6" t="inlineStr">
        <is>
          <t>13-16</t>
        </is>
      </c>
      <c r="F15" s="6" t="inlineStr">
        <is>
          <t>Não iniciado</t>
        </is>
      </c>
      <c r="G15" s="6" t="n"/>
      <c r="H15" s="8" t="n"/>
      <c r="I15" s="8" t="n"/>
      <c r="J15" s="7" t="inlineStr">
        <is>
          <t>RF-006: slot liberado ofertado automaticamente à fila em ordem de prioridade</t>
        </is>
      </c>
      <c r="K15" s="7" t="n"/>
    </row>
    <row r="16" ht="34" customHeight="1">
      <c r="A16" s="6" t="inlineStr">
        <is>
          <t>Etapa 5</t>
        </is>
      </c>
      <c r="B16" s="6" t="inlineStr">
        <is>
          <t>BL-014</t>
        </is>
      </c>
      <c r="C16" s="7" t="inlineStr">
        <is>
          <t>Score de Risco de Evasão</t>
        </is>
      </c>
      <c r="D16" s="6" t="inlineStr">
        <is>
          <t>Should Have</t>
        </is>
      </c>
      <c r="E16" s="6" t="inlineStr">
        <is>
          <t>13-16</t>
        </is>
      </c>
      <c r="F16" s="6" t="inlineStr">
        <is>
          <t>Não iniciado</t>
        </is>
      </c>
      <c r="G16" s="6" t="n"/>
      <c r="H16" s="8" t="n"/>
      <c r="I16" s="8" t="n"/>
      <c r="J16" s="7" t="inlineStr">
        <is>
          <t>RF-013: score recalculado diariamente e visível no cadastro do paciente</t>
        </is>
      </c>
      <c r="K16" s="7" t="n"/>
    </row>
    <row r="17" ht="34" customHeight="1">
      <c r="A17" s="6" t="inlineStr">
        <is>
          <t>Etapa 5</t>
        </is>
      </c>
      <c r="B17" s="6" t="inlineStr">
        <is>
          <t>BL-015</t>
        </is>
      </c>
      <c r="C17" s="7" t="inlineStr">
        <is>
          <t>Anexo de Exames e Fotos no Prontuário</t>
        </is>
      </c>
      <c r="D17" s="6" t="inlineStr">
        <is>
          <t>Should Have</t>
        </is>
      </c>
      <c r="E17" s="6" t="inlineStr">
        <is>
          <t>13-16</t>
        </is>
      </c>
      <c r="F17" s="6" t="inlineStr">
        <is>
          <t>Não iniciado</t>
        </is>
      </c>
      <c r="G17" s="6" t="n"/>
      <c r="H17" s="8" t="n"/>
      <c r="I17" s="8" t="n"/>
      <c r="J17" s="7" t="inlineStr">
        <is>
          <t>RF-022: upload de 50 MB em menos de 10s, com comparação lado a lado</t>
        </is>
      </c>
      <c r="K17" s="7" t="n"/>
    </row>
    <row r="18" ht="24" customHeight="1">
      <c r="A18" s="6" t="inlineStr">
        <is>
          <t>Etapa 5</t>
        </is>
      </c>
      <c r="B18" s="6" t="inlineStr">
        <is>
          <t>BL-016</t>
        </is>
      </c>
      <c r="C18" s="7" t="inlineStr">
        <is>
          <t>Régua de Cobrança de Inadimplentes</t>
        </is>
      </c>
      <c r="D18" s="6" t="inlineStr">
        <is>
          <t>Should Have</t>
        </is>
      </c>
      <c r="E18" s="6" t="inlineStr">
        <is>
          <t>13-16</t>
        </is>
      </c>
      <c r="F18" s="6" t="inlineStr">
        <is>
          <t>Não iniciado</t>
        </is>
      </c>
      <c r="G18" s="6" t="n"/>
      <c r="H18" s="8" t="n"/>
      <c r="I18" s="8" t="n"/>
      <c r="J18" s="7" t="inlineStr">
        <is>
          <t>RF-033: sequência D+1/D+7/D+15 com registro de cada envio</t>
        </is>
      </c>
      <c r="K18" s="7" t="n"/>
    </row>
    <row r="19" ht="34" customHeight="1">
      <c r="A19" s="6" t="inlineStr">
        <is>
          <t>Etapa 5</t>
        </is>
      </c>
      <c r="B19" s="6" t="inlineStr">
        <is>
          <t>BL-017</t>
        </is>
      </c>
      <c r="C19" s="7" t="inlineStr">
        <is>
          <t>Onboarding Guiado por Tenant</t>
        </is>
      </c>
      <c r="D19" s="6" t="inlineStr">
        <is>
          <t>Should Have</t>
        </is>
      </c>
      <c r="E19" s="6" t="inlineStr">
        <is>
          <t>13-16</t>
        </is>
      </c>
      <c r="F19" s="6" t="inlineStr">
        <is>
          <t>Não iniciado</t>
        </is>
      </c>
      <c r="G19" s="6" t="n"/>
      <c r="H19" s="8" t="n"/>
      <c r="I19" s="8" t="n"/>
      <c r="J19" s="7" t="inlineStr">
        <is>
          <t>Setup básico concluído sem suporte humano em menos de 30 minutos</t>
        </is>
      </c>
      <c r="K19" s="7" t="n"/>
    </row>
    <row r="20" ht="34" customHeight="1">
      <c r="A20" s="6" t="inlineStr">
        <is>
          <t>Etapa 5</t>
        </is>
      </c>
      <c r="B20" s="6" t="inlineStr">
        <is>
          <t>BL-018</t>
        </is>
      </c>
      <c r="C20" s="7" t="inlineStr">
        <is>
          <t>Importador de Planilhas</t>
        </is>
      </c>
      <c r="D20" s="6" t="inlineStr">
        <is>
          <t>Should Have</t>
        </is>
      </c>
      <c r="E20" s="6" t="inlineStr">
        <is>
          <t>13-16</t>
        </is>
      </c>
      <c r="F20" s="6" t="inlineStr">
        <is>
          <t>Não iniciado</t>
        </is>
      </c>
      <c r="G20" s="6" t="n"/>
      <c r="H20" s="8" t="n"/>
      <c r="I20" s="8" t="n"/>
      <c r="J20" s="7" t="inlineStr">
        <is>
          <t>Ingestão em lote com relatório de inconsistências linha a linha</t>
        </is>
      </c>
      <c r="K20" s="7" t="n"/>
    </row>
    <row r="21" ht="24" customHeight="1">
      <c r="A21" s="6" t="inlineStr">
        <is>
          <t>Etapa 5</t>
        </is>
      </c>
      <c r="B21" s="6" t="inlineStr">
        <is>
          <t>BL-019</t>
        </is>
      </c>
      <c r="C21" s="7" t="inlineStr">
        <is>
          <t>Prescrição com Catálogo de Medicamentos</t>
        </is>
      </c>
      <c r="D21" s="6" t="inlineStr">
        <is>
          <t>Could Have</t>
        </is>
      </c>
      <c r="E21" s="6" t="inlineStr">
        <is>
          <t>13-16</t>
        </is>
      </c>
      <c r="F21" s="6" t="inlineStr">
        <is>
          <t>Não iniciado</t>
        </is>
      </c>
      <c r="G21" s="6" t="n"/>
      <c r="H21" s="8" t="n"/>
      <c r="I21" s="8" t="n"/>
      <c r="J21" s="7" t="inlineStr">
        <is>
          <t>RF-025: receita emitida, assinada e disponível em PDF</t>
        </is>
      </c>
      <c r="K21" s="7" t="n"/>
    </row>
    <row r="22" ht="24" customHeight="1">
      <c r="A22" s="6" t="inlineStr">
        <is>
          <t>Etapa 5</t>
        </is>
      </c>
      <c r="B22" s="6" t="inlineStr">
        <is>
          <t>BL-020</t>
        </is>
      </c>
      <c r="C22" s="7" t="inlineStr">
        <is>
          <t>Vínculo Familiar entre Pacientes</t>
        </is>
      </c>
      <c r="D22" s="6" t="inlineStr">
        <is>
          <t>Could Have</t>
        </is>
      </c>
      <c r="E22" s="6" t="inlineStr">
        <is>
          <t>13-16</t>
        </is>
      </c>
      <c r="F22" s="6" t="inlineStr">
        <is>
          <t>Não iniciado</t>
        </is>
      </c>
      <c r="G22" s="6" t="n"/>
      <c r="H22" s="8" t="n"/>
      <c r="I22" s="8" t="n"/>
      <c r="J22" s="7" t="inlineStr">
        <is>
          <t>RF-012: cobrança de dependentes consolidada no titular</t>
        </is>
      </c>
      <c r="K22" s="7" t="n"/>
    </row>
    <row r="23" ht="34" customHeight="1">
      <c r="A23" s="6" t="inlineStr">
        <is>
          <t>Etapa 5</t>
        </is>
      </c>
      <c r="B23" s="6" t="inlineStr">
        <is>
          <t>BL-021</t>
        </is>
      </c>
      <c r="C23" s="7" t="inlineStr">
        <is>
          <t>Agendamento Recorrente</t>
        </is>
      </c>
      <c r="D23" s="6" t="inlineStr">
        <is>
          <t>Could Have</t>
        </is>
      </c>
      <c r="E23" s="6" t="inlineStr">
        <is>
          <t>13-16</t>
        </is>
      </c>
      <c r="F23" s="6" t="inlineStr">
        <is>
          <t>Não iniciado</t>
        </is>
      </c>
      <c r="G23" s="6" t="n"/>
      <c r="H23" s="8" t="n"/>
      <c r="I23" s="8" t="n"/>
      <c r="J23" s="7" t="inlineStr">
        <is>
          <t>RF-003: série criada em lote com cancelamento individual ou em bloco</t>
        </is>
      </c>
      <c r="K23" s="7" t="n"/>
    </row>
    <row r="24" ht="24" customHeight="1">
      <c r="A24" s="6" t="inlineStr">
        <is>
          <t>Etapa 5</t>
        </is>
      </c>
      <c r="B24" s="6" t="inlineStr">
        <is>
          <t>BL-022</t>
        </is>
      </c>
      <c r="C24" s="7" t="inlineStr">
        <is>
          <t>Dashboard do Dono com Funil de Orçamentos</t>
        </is>
      </c>
      <c r="D24" s="6" t="inlineStr">
        <is>
          <t>Could Have</t>
        </is>
      </c>
      <c r="E24" s="6" t="inlineStr">
        <is>
          <t>13-16</t>
        </is>
      </c>
      <c r="F24" s="6" t="inlineStr">
        <is>
          <t>Não iniciado</t>
        </is>
      </c>
      <c r="G24" s="6" t="n"/>
      <c r="H24" s="8" t="n"/>
      <c r="I24" s="8" t="n"/>
      <c r="J24" s="7" t="inlineStr">
        <is>
          <t>Funil de conversão por período e profissional</t>
        </is>
      </c>
      <c r="K24" s="7" t="n"/>
    </row>
    <row r="25" ht="34" customHeight="1">
      <c r="A25" s="6" t="inlineStr">
        <is>
          <t>Etapa 5</t>
        </is>
      </c>
      <c r="B25" s="6" t="inlineStr">
        <is>
          <t>BL-023</t>
        </is>
      </c>
      <c r="C25" s="7" t="inlineStr">
        <is>
          <t>Exportação Contábil CSV</t>
        </is>
      </c>
      <c r="D25" s="6" t="inlineStr">
        <is>
          <t>Could Have</t>
        </is>
      </c>
      <c r="E25" s="6" t="inlineStr">
        <is>
          <t>13-16</t>
        </is>
      </c>
      <c r="F25" s="6" t="inlineStr">
        <is>
          <t>Não iniciado</t>
        </is>
      </c>
      <c r="G25" s="6" t="n"/>
      <c r="H25" s="8" t="n"/>
      <c r="I25" s="8" t="n"/>
      <c r="J25" s="7" t="inlineStr">
        <is>
          <t>CSV com data, descrição, valor líquido, taxas e centro de custo</t>
        </is>
      </c>
      <c r="K25" s="7" t="n"/>
    </row>
    <row r="26" ht="24" customHeight="1">
      <c r="A26" s="6" t="inlineStr">
        <is>
          <t>Etapa 6</t>
        </is>
      </c>
      <c r="B26" s="6" t="inlineStr">
        <is>
          <t>BL-024</t>
        </is>
      </c>
      <c r="C26" s="7" t="inlineStr">
        <is>
          <t>Faturamento TISS/Convênios</t>
        </is>
      </c>
      <c r="D26" s="6" t="inlineStr">
        <is>
          <t>Won't Have</t>
        </is>
      </c>
      <c r="E26" s="6" t="inlineStr">
        <is>
          <t>Bloqueado</t>
        </is>
      </c>
      <c r="F26" s="6" t="inlineStr">
        <is>
          <t>Não iniciado</t>
        </is>
      </c>
      <c r="G26" s="6" t="n"/>
      <c r="H26" s="8" t="n"/>
      <c r="I26" s="8" t="n"/>
      <c r="J26" s="7" t="inlineStr">
        <is>
          <t>Reavaliação na Fase 2</t>
        </is>
      </c>
      <c r="K26" s="7" t="n"/>
    </row>
    <row r="27" ht="24" customHeight="1">
      <c r="A27" s="6" t="inlineStr">
        <is>
          <t>Etapa 6</t>
        </is>
      </c>
      <c r="B27" s="6" t="inlineStr">
        <is>
          <t>BL-025</t>
        </is>
      </c>
      <c r="C27" s="7" t="inlineStr">
        <is>
          <t>Contas a Pagar e Comissões</t>
        </is>
      </c>
      <c r="D27" s="6" t="inlineStr">
        <is>
          <t>Won't Have</t>
        </is>
      </c>
      <c r="E27" s="6" t="inlineStr">
        <is>
          <t>Bloqueado</t>
        </is>
      </c>
      <c r="F27" s="6" t="inlineStr">
        <is>
          <t>Não iniciado</t>
        </is>
      </c>
      <c r="G27" s="6" t="n"/>
      <c r="H27" s="8" t="n"/>
      <c r="I27" s="8" t="n"/>
      <c r="J27" s="7" t="inlineStr">
        <is>
          <t>Reavaliação na Fase 2 (RF-034, RF-035)</t>
        </is>
      </c>
      <c r="K27" s="7" t="n"/>
    </row>
    <row r="28" ht="24" customHeight="1">
      <c r="A28" s="6" t="inlineStr">
        <is>
          <t>Etapa 6</t>
        </is>
      </c>
      <c r="B28" s="6" t="inlineStr">
        <is>
          <t>BL-026</t>
        </is>
      </c>
      <c r="C28" s="7" t="inlineStr">
        <is>
          <t>Motor de Automações e Campanhas</t>
        </is>
      </c>
      <c r="D28" s="6" t="inlineStr">
        <is>
          <t>Won't Have</t>
        </is>
      </c>
      <c r="E28" s="6" t="inlineStr">
        <is>
          <t>Bloqueado</t>
        </is>
      </c>
      <c r="F28" s="6" t="inlineStr">
        <is>
          <t>Não iniciado</t>
        </is>
      </c>
      <c r="G28" s="6" t="n"/>
      <c r="H28" s="8" t="n"/>
      <c r="I28" s="8" t="n"/>
      <c r="J28" s="7" t="inlineStr">
        <is>
          <t>Fase 2 (RF-040, RF-041)</t>
        </is>
      </c>
      <c r="K28" s="7" t="n"/>
    </row>
    <row r="29" ht="24" customHeight="1">
      <c r="A29" s="6" t="inlineStr">
        <is>
          <t>Etapa 6</t>
        </is>
      </c>
      <c r="B29" s="6" t="inlineStr">
        <is>
          <t>BL-027</t>
        </is>
      </c>
      <c r="C29" s="7" t="inlineStr">
        <is>
          <t>App Mobile Nativo e Portal do Paciente</t>
        </is>
      </c>
      <c r="D29" s="6" t="inlineStr">
        <is>
          <t>Won't Have</t>
        </is>
      </c>
      <c r="E29" s="6" t="inlineStr">
        <is>
          <t>Bloqueado</t>
        </is>
      </c>
      <c r="F29" s="6" t="inlineStr">
        <is>
          <t>Não iniciado</t>
        </is>
      </c>
      <c r="G29" s="6" t="n"/>
      <c r="H29" s="8" t="n"/>
      <c r="I29" s="8" t="n"/>
      <c r="J29" s="7" t="inlineStr">
        <is>
          <t>Fase 2</t>
        </is>
      </c>
      <c r="K29" s="7" t="n"/>
    </row>
    <row r="30" ht="34" customHeight="1">
      <c r="A30" s="6" t="inlineStr">
        <is>
          <t>Etapa 6</t>
        </is>
      </c>
      <c r="B30" s="6" t="inlineStr">
        <is>
          <t>BL-028</t>
        </is>
      </c>
      <c r="C30" s="7" t="inlineStr">
        <is>
          <t>IA Assistiva, CRM/Funil, Estoque e API Pública</t>
        </is>
      </c>
      <c r="D30" s="6" t="inlineStr">
        <is>
          <t>Won't Have</t>
        </is>
      </c>
      <c r="E30" s="6" t="inlineStr">
        <is>
          <t>Bloqueado</t>
        </is>
      </c>
      <c r="F30" s="6" t="inlineStr">
        <is>
          <t>Não iniciado</t>
        </is>
      </c>
      <c r="G30" s="6" t="n"/>
      <c r="H30" s="8" t="n"/>
      <c r="I30" s="8" t="n"/>
      <c r="J30" s="7" t="inlineStr">
        <is>
          <t>Fase 3</t>
        </is>
      </c>
      <c r="K30" s="7" t="n"/>
    </row>
    <row r="31" ht="24" customHeight="1">
      <c r="A31" s="6" t="inlineStr">
        <is>
          <t>Etapa 6</t>
        </is>
      </c>
      <c r="B31" s="6" t="inlineStr">
        <is>
          <t>BL-029</t>
        </is>
      </c>
      <c r="C31" s="7" t="inlineStr">
        <is>
          <t>DICOM e SOC 2</t>
        </is>
      </c>
      <c r="D31" s="6" t="inlineStr">
        <is>
          <t>Won't Have</t>
        </is>
      </c>
      <c r="E31" s="6" t="inlineStr">
        <is>
          <t>Bloqueado</t>
        </is>
      </c>
      <c r="F31" s="6" t="inlineStr">
        <is>
          <t>Não iniciado</t>
        </is>
      </c>
      <c r="G31" s="6" t="n"/>
      <c r="H31" s="8" t="n"/>
      <c r="I31" s="8" t="n"/>
      <c r="J31" s="7" t="inlineStr">
        <is>
          <t>Fase 4</t>
        </is>
      </c>
      <c r="K31" s="7" t="n"/>
    </row>
  </sheetData>
  <mergeCells count="1">
    <mergeCell ref="A1:K1"/>
  </mergeCells>
  <dataValidations count="1">
    <dataValidation sqref="F3:F31" showDropDown="0" showInputMessage="0" showErrorMessage="0" allowBlank="1" type="list">
      <formula1>"Não iniciado,Em andamento,Em revisão,Concluído,Bloqueado"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7" customWidth="1" min="4" max="4"/>
    <col width="11" customWidth="1" min="5" max="5"/>
    <col width="12" customWidth="1" min="6" max="6"/>
    <col width="12" customWidth="1" min="7" max="7"/>
    <col width="12" customWidth="1" min="8" max="8"/>
    <col width="42" customWidth="1" min="9" max="9"/>
    <col width="55" customWidth="1" min="10" max="10"/>
  </cols>
  <sheetData>
    <row r="1" ht="28" customHeight="1">
      <c r="A1" s="1" t="inlineStr">
        <is>
          <t>Checklist de Construção — GesTec-IA-Odonto (MVP Fase 1)</t>
        </is>
      </c>
    </row>
    <row r="2" ht="32" customHeight="1">
      <c r="A2" s="2" t="inlineStr">
        <is>
          <t>Etapa</t>
        </is>
      </c>
      <c r="B2" s="2" t="inlineStr">
        <is>
          <t>Nome</t>
        </is>
      </c>
      <c r="C2" s="2" t="inlineStr">
        <is>
          <t>Semanas</t>
        </is>
      </c>
      <c r="D2" s="2" t="inlineStr">
        <is>
          <t>Itens</t>
        </is>
      </c>
      <c r="E2" s="2" t="inlineStr">
        <is>
          <t>Must Have</t>
        </is>
      </c>
      <c r="F2" s="2" t="inlineStr">
        <is>
          <t>Should Have</t>
        </is>
      </c>
      <c r="G2" s="2" t="inlineStr">
        <is>
          <t>Could Have</t>
        </is>
      </c>
      <c r="H2" s="2" t="inlineStr">
        <is>
          <t>Won't Have</t>
        </is>
      </c>
      <c r="I2" s="2" t="inlineStr">
        <is>
          <t>Dependência Externa</t>
        </is>
      </c>
      <c r="J2" s="2" t="inlineStr">
        <is>
          <t>Critério de Saída</t>
        </is>
      </c>
    </row>
    <row r="3" ht="24" customHeight="1">
      <c r="A3" s="9" t="n">
        <v>0</v>
      </c>
      <c r="B3" s="10" t="inlineStr">
        <is>
          <t>Fundação técnica</t>
        </is>
      </c>
      <c r="C3" s="6" t="inlineStr">
        <is>
          <t>1-3</t>
        </is>
      </c>
      <c r="D3" s="9">
        <f>COUNTIFS('Checklist Execução'!$A$3:$A$31,"Etapa "&amp;$A3)</f>
        <v/>
      </c>
      <c r="E3" s="9">
        <f>COUNTIFS('Checklist Execução'!$A$3:$A$31,"Etapa "&amp;$A3,'Checklist Execução'!$D$3:$D$31,"Must Have")</f>
        <v/>
      </c>
      <c r="F3" s="9">
        <f>COUNTIFS('Checklist Execução'!$A$3:$A$31,"Etapa "&amp;$A3,'Checklist Execução'!$D$3:$D$31,"Should Have")</f>
        <v/>
      </c>
      <c r="G3" s="9">
        <f>COUNTIFS('Checklist Execução'!$A$3:$A$31,"Etapa "&amp;$A3,'Checklist Execução'!$D$3:$D$31,"Could Have")</f>
        <v/>
      </c>
      <c r="H3" s="9">
        <f>COUNTIFS('Checklist Execução'!$A$3:$A$31,"Etapa "&amp;$A3,'Checklist Execução'!$D$3:$D$31,"Won't Have")</f>
        <v/>
      </c>
      <c r="I3" s="7" t="inlineStr">
        <is>
          <t>Nenhuma</t>
        </is>
      </c>
      <c r="J3" s="7" t="inlineStr">
        <is>
          <t>CA-Multi-tenant e CA-MOD-2 verdes no pipeline</t>
        </is>
      </c>
    </row>
    <row r="4" ht="24" customHeight="1">
      <c r="A4" s="9" t="n">
        <v>1</v>
      </c>
      <c r="B4" s="10" t="inlineStr">
        <is>
          <t>Cadastro e Agenda</t>
        </is>
      </c>
      <c r="C4" s="6" t="inlineStr">
        <is>
          <t>3-6</t>
        </is>
      </c>
      <c r="D4" s="9">
        <f>COUNTIFS('Checklist Execução'!$A$3:$A$31,"Etapa "&amp;$A4)</f>
        <v/>
      </c>
      <c r="E4" s="9">
        <f>COUNTIFS('Checklist Execução'!$A$3:$A$31,"Etapa "&amp;$A4,'Checklist Execução'!$D$3:$D$31,"Must Have")</f>
        <v/>
      </c>
      <c r="F4" s="9">
        <f>COUNTIFS('Checklist Execução'!$A$3:$A$31,"Etapa "&amp;$A4,'Checklist Execução'!$D$3:$D$31,"Should Have")</f>
        <v/>
      </c>
      <c r="G4" s="9">
        <f>COUNTIFS('Checklist Execução'!$A$3:$A$31,"Etapa "&amp;$A4,'Checklist Execução'!$D$3:$D$31,"Could Have")</f>
        <v/>
      </c>
      <c r="H4" s="9">
        <f>COUNTIFS('Checklist Execução'!$A$3:$A$31,"Etapa "&amp;$A4,'Checklist Execução'!$D$3:$D$31,"Won't Have")</f>
        <v/>
      </c>
      <c r="I4" s="7" t="inlineStr">
        <is>
          <t>Nenhuma</t>
        </is>
      </c>
      <c r="J4" s="7" t="inlineStr">
        <is>
          <t>CA-Agenda e CA-Usabilidade demonstrados</t>
        </is>
      </c>
    </row>
    <row r="5" ht="34" customHeight="1">
      <c r="A5" s="9" t="n">
        <v>2</v>
      </c>
      <c r="B5" s="10" t="inlineStr">
        <is>
          <t>Prontuário clínico</t>
        </is>
      </c>
      <c r="C5" s="6" t="inlineStr">
        <is>
          <t>6-9</t>
        </is>
      </c>
      <c r="D5" s="9">
        <f>COUNTIFS('Checklist Execução'!$A$3:$A$31,"Etapa "&amp;$A5)</f>
        <v/>
      </c>
      <c r="E5" s="9">
        <f>COUNTIFS('Checklist Execução'!$A$3:$A$31,"Etapa "&amp;$A5,'Checklist Execução'!$D$3:$D$31,"Must Have")</f>
        <v/>
      </c>
      <c r="F5" s="9">
        <f>COUNTIFS('Checklist Execução'!$A$3:$A$31,"Etapa "&amp;$A5,'Checklist Execução'!$D$3:$D$31,"Should Have")</f>
        <v/>
      </c>
      <c r="G5" s="9">
        <f>COUNTIFS('Checklist Execução'!$A$3:$A$31,"Etapa "&amp;$A5,'Checklist Execução'!$D$3:$D$31,"Could Have")</f>
        <v/>
      </c>
      <c r="H5" s="9">
        <f>COUNTIFS('Checklist Execução'!$A$3:$A$31,"Etapa "&amp;$A5,'Checklist Execução'!$D$3:$D$31,"Won't Have")</f>
        <v/>
      </c>
      <c r="I5" s="7" t="inlineStr">
        <is>
          <t>Advisory odontológico (validação do odontograma)</t>
        </is>
      </c>
      <c r="J5" s="7" t="inlineStr">
        <is>
          <t>CA-Prontuário demonstrado</t>
        </is>
      </c>
    </row>
    <row r="6" ht="24" customHeight="1">
      <c r="A6" s="9" t="n">
        <v>3</v>
      </c>
      <c r="B6" s="10" t="inlineStr">
        <is>
          <t>Orçamento e Financeiro</t>
        </is>
      </c>
      <c r="C6" s="6" t="inlineStr">
        <is>
          <t>9-12</t>
        </is>
      </c>
      <c r="D6" s="9">
        <f>COUNTIFS('Checklist Execução'!$A$3:$A$31,"Etapa "&amp;$A6)</f>
        <v/>
      </c>
      <c r="E6" s="9">
        <f>COUNTIFS('Checklist Execução'!$A$3:$A$31,"Etapa "&amp;$A6,'Checklist Execução'!$D$3:$D$31,"Must Have")</f>
        <v/>
      </c>
      <c r="F6" s="9">
        <f>COUNTIFS('Checklist Execução'!$A$3:$A$31,"Etapa "&amp;$A6,'Checklist Execução'!$D$3:$D$31,"Should Have")</f>
        <v/>
      </c>
      <c r="G6" s="9">
        <f>COUNTIFS('Checklist Execução'!$A$3:$A$31,"Etapa "&amp;$A6,'Checklist Execução'!$D$3:$D$31,"Could Have")</f>
        <v/>
      </c>
      <c r="H6" s="9">
        <f>COUNTIFS('Checklist Execução'!$A$3:$A$31,"Etapa "&amp;$A6,'Checklist Execução'!$D$3:$D$31,"Won't Have")</f>
        <v/>
      </c>
      <c r="I6" s="7" t="inlineStr">
        <is>
          <t>Contrato PSP assinado antes do início</t>
        </is>
      </c>
      <c r="J6" s="7" t="inlineStr">
        <is>
          <t>CA-Financeiro demonstrado</t>
        </is>
      </c>
    </row>
    <row r="7" ht="34" customHeight="1">
      <c r="A7" s="9" t="n">
        <v>4</v>
      </c>
      <c r="B7" s="10" t="inlineStr">
        <is>
          <t>Comunicação e Relatórios</t>
        </is>
      </c>
      <c r="C7" s="6" t="inlineStr">
        <is>
          <t>11-13</t>
        </is>
      </c>
      <c r="D7" s="9">
        <f>COUNTIFS('Checklist Execução'!$A$3:$A$31,"Etapa "&amp;$A7)</f>
        <v/>
      </c>
      <c r="E7" s="9">
        <f>COUNTIFS('Checklist Execução'!$A$3:$A$31,"Etapa "&amp;$A7,'Checklist Execução'!$D$3:$D$31,"Must Have")</f>
        <v/>
      </c>
      <c r="F7" s="9">
        <f>COUNTIFS('Checklist Execução'!$A$3:$A$31,"Etapa "&amp;$A7,'Checklist Execução'!$D$3:$D$31,"Should Have")</f>
        <v/>
      </c>
      <c r="G7" s="9">
        <f>COUNTIFS('Checklist Execução'!$A$3:$A$31,"Etapa "&amp;$A7,'Checklist Execução'!$D$3:$D$31,"Could Have")</f>
        <v/>
      </c>
      <c r="H7" s="9">
        <f>COUNTIFS('Checklist Execução'!$A$3:$A$31,"Etapa "&amp;$A7,'Checklist Execução'!$D$3:$D$31,"Won't Have")</f>
        <v/>
      </c>
      <c r="I7" s="7" t="inlineStr">
        <is>
          <t>BSP WhatsApp com templates aprovados (iniciar na Etapa 0)</t>
        </is>
      </c>
      <c r="J7" s="7" t="inlineStr">
        <is>
          <t>RF-005 e UC-06 parcial demonstrados</t>
        </is>
      </c>
    </row>
    <row r="8" ht="24" customHeight="1">
      <c r="A8" s="9" t="n">
        <v>5</v>
      </c>
      <c r="B8" s="10" t="inlineStr">
        <is>
          <t>Should/Could Have</t>
        </is>
      </c>
      <c r="C8" s="6" t="inlineStr">
        <is>
          <t>13-16</t>
        </is>
      </c>
      <c r="D8" s="9">
        <f>COUNTIFS('Checklist Execução'!$A$3:$A$31,"Etapa "&amp;$A8)</f>
        <v/>
      </c>
      <c r="E8" s="9">
        <f>COUNTIFS('Checklist Execução'!$A$3:$A$31,"Etapa "&amp;$A8,'Checklist Execução'!$D$3:$D$31,"Must Have")</f>
        <v/>
      </c>
      <c r="F8" s="9">
        <f>COUNTIFS('Checklist Execução'!$A$3:$A$31,"Etapa "&amp;$A8,'Checklist Execução'!$D$3:$D$31,"Should Have")</f>
        <v/>
      </c>
      <c r="G8" s="9">
        <f>COUNTIFS('Checklist Execução'!$A$3:$A$31,"Etapa "&amp;$A8,'Checklist Execução'!$D$3:$D$31,"Could Have")</f>
        <v/>
      </c>
      <c r="H8" s="9">
        <f>COUNTIFS('Checklist Execução'!$A$3:$A$31,"Etapa "&amp;$A8,'Checklist Execução'!$D$3:$D$31,"Won't Have")</f>
        <v/>
      </c>
      <c r="I8" s="7" t="inlineStr">
        <is>
          <t>Nenhum Must Have pendente</t>
        </is>
      </c>
      <c r="J8" s="7" t="inlineStr">
        <is>
          <t>Itens entregues conforme capacidade</t>
        </is>
      </c>
    </row>
    <row r="9" ht="24" customHeight="1">
      <c r="A9" s="9" t="n">
        <v>6</v>
      </c>
      <c r="B9" s="10" t="inlineStr">
        <is>
          <t>Hardening e go-live</t>
        </is>
      </c>
      <c r="C9" s="6" t="inlineStr">
        <is>
          <t>15-17</t>
        </is>
      </c>
      <c r="D9" s="9">
        <f>COUNTIFS('Checklist Execução'!$A$3:$A$31,"Etapa "&amp;$A9)</f>
        <v/>
      </c>
      <c r="E9" s="9">
        <f>COUNTIFS('Checklist Execução'!$A$3:$A$31,"Etapa "&amp;$A9,'Checklist Execução'!$D$3:$D$31,"Must Have")</f>
        <v/>
      </c>
      <c r="F9" s="9">
        <f>COUNTIFS('Checklist Execução'!$A$3:$A$31,"Etapa "&amp;$A9,'Checklist Execução'!$D$3:$D$31,"Should Have")</f>
        <v/>
      </c>
      <c r="G9" s="9">
        <f>COUNTIFS('Checklist Execução'!$A$3:$A$31,"Etapa "&amp;$A9,'Checklist Execução'!$D$3:$D$31,"Could Have")</f>
        <v/>
      </c>
      <c r="H9" s="9">
        <f>COUNTIFS('Checklist Execução'!$A$3:$A$31,"Etapa "&amp;$A9,'Checklist Execução'!$D$3:$D$31,"Won't Have")</f>
        <v/>
      </c>
      <c r="I9" s="7" t="inlineStr">
        <is>
          <t>Beta com 3-5 clínicas piloto</t>
        </is>
      </c>
      <c r="J9" s="7" t="inlineStr">
        <is>
          <t>Release 1.0 do MVP em produção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Checklist de Construção — GesTec-IA-Odonto (MVP Fase 1)</dc:title>
  <dcterms:created xsi:type="dcterms:W3CDTF">2026-10-07T17:51:29Z</dcterms:created>
  <dcterms:modified xsi:type="dcterms:W3CDTF">2026-10-07T17:51:29Z</dcterms:modified>
</cp:coreProperties>
</file>